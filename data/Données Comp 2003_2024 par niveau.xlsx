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TICLES 2025\"/>
    </mc:Choice>
  </mc:AlternateContent>
  <xr:revisionPtr revIDLastSave="0" documentId="8_{E2B3BFC8-EA79-4D17-98C9-74709D4A320C}" xr6:coauthVersionLast="47" xr6:coauthVersionMax="47" xr10:uidLastSave="{00000000-0000-0000-0000-000000000000}"/>
  <bookViews>
    <workbookView xWindow="1752" yWindow="288" windowWidth="12744" windowHeight="12084" xr2:uid="{13B2C581-0C15-4318-9EDC-6AA057E1F049}"/>
  </bookViews>
  <sheets>
    <sheet name="Données Comp AStatist 2003_2024" sheetId="1" r:id="rId1"/>
    <sheet name="D C 2003-2024 Collèges" sheetId="2" r:id="rId2"/>
    <sheet name="D C 2003-2024 LYCE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1" l="1"/>
  <c r="F79" i="1"/>
  <c r="E79" i="1"/>
  <c r="D79" i="1"/>
  <c r="C79" i="1"/>
  <c r="B79" i="1"/>
  <c r="G55" i="1"/>
  <c r="G54" i="1"/>
</calcChain>
</file>

<file path=xl/sharedStrings.xml><?xml version="1.0" encoding="utf-8"?>
<sst xmlns="http://schemas.openxmlformats.org/spreadsheetml/2006/main" count="184" uniqueCount="83">
  <si>
    <t>ECOLES PRIMAIRE</t>
  </si>
  <si>
    <t>Source</t>
  </si>
  <si>
    <t>A_Scol 2003-2009 : Annuaire_Statistique_MENESUP_2009-2010</t>
  </si>
  <si>
    <t>A_Scol 2015-2024 : Annuaire_Statistique_MENESUP_2023-2024</t>
  </si>
  <si>
    <t>1. Evolution du nombre de Divisions Pédagogiques selon le niveau d'enseignement</t>
  </si>
  <si>
    <t>Année scolaire</t>
  </si>
  <si>
    <t xml:space="preserve"> Primaire</t>
  </si>
  <si>
    <t xml:space="preserve"> Moyen général</t>
  </si>
  <si>
    <t xml:space="preserve"> Secondaire général</t>
  </si>
  <si>
    <t>2003-2004</t>
  </si>
  <si>
    <t>2009-2010</t>
  </si>
  <si>
    <t>2015-2016</t>
  </si>
  <si>
    <t>2019-2020</t>
  </si>
  <si>
    <t>2023-2024</t>
  </si>
  <si>
    <t>2. Evolution de la population scolaire par niveau d'enseignement</t>
  </si>
  <si>
    <t>Preprimaire</t>
  </si>
  <si>
    <t>Primaire</t>
  </si>
  <si>
    <t>Moyen</t>
  </si>
  <si>
    <t>Secondaire</t>
  </si>
  <si>
    <t>Technique et prof.</t>
  </si>
  <si>
    <t>Universite</t>
  </si>
  <si>
    <t>ND</t>
  </si>
  <si>
    <t>3. Evolution du nombre d'ecoles préscolaires</t>
  </si>
  <si>
    <t>Public</t>
  </si>
  <si>
    <t>Privé</t>
  </si>
  <si>
    <t>Réfugié</t>
  </si>
  <si>
    <t>Total</t>
  </si>
  <si>
    <t xml:space="preserve">4. Evolution du nombre d'écoles </t>
  </si>
  <si>
    <t>Nombre d'écoles</t>
  </si>
  <si>
    <t xml:space="preserve"> Privées Arabophones</t>
  </si>
  <si>
    <t>Privées Francophones</t>
  </si>
  <si>
    <t xml:space="preserve"> Publiques</t>
  </si>
  <si>
    <t>TOTAL</t>
  </si>
  <si>
    <t>5. Evolution de l'effectif des élèves du primaire par secteur</t>
  </si>
  <si>
    <t>Effectif élèves du</t>
  </si>
  <si>
    <t>Privé Francophone</t>
  </si>
  <si>
    <t>Privé Arabophone</t>
  </si>
  <si>
    <t>Ecoles des réfugiés</t>
  </si>
  <si>
    <t>LEC</t>
  </si>
  <si>
    <t>Total élèves</t>
  </si>
  <si>
    <t>Evolution des Taux Brut d'Admission et de Scolarisation</t>
  </si>
  <si>
    <t xml:space="preserve">Taux Brut </t>
  </si>
  <si>
    <t>d'Admission</t>
  </si>
  <si>
    <t>Scolarisation</t>
  </si>
  <si>
    <t>50.7%</t>
  </si>
  <si>
    <t>49.5%</t>
  </si>
  <si>
    <t>73.6%</t>
  </si>
  <si>
    <t>72.9%</t>
  </si>
  <si>
    <t>Principales caractéristiques par région, circonscription et statut</t>
  </si>
  <si>
    <t>Collège</t>
  </si>
  <si>
    <t>Lycée</t>
  </si>
  <si>
    <t xml:space="preserve">Djibouti ville </t>
  </si>
  <si>
    <t>Arta</t>
  </si>
  <si>
    <t>Ali-Sabieh</t>
  </si>
  <si>
    <t>Dikhil</t>
  </si>
  <si>
    <t>Obock</t>
  </si>
  <si>
    <t>Tadjourah</t>
  </si>
  <si>
    <t>Privé Francophone : 14 (13 (DJI) 1(A-S))&amp;9 dji</t>
  </si>
  <si>
    <t>Privé Arabophone : 22 (19(DJI) 1(Ob) 2(Dik))&amp;16 (15 dji 1 Ob)</t>
  </si>
  <si>
    <t>Balbala</t>
  </si>
  <si>
    <t>COLLEGES</t>
  </si>
  <si>
    <t>1: Evolution du nombre d'établissement (collège) par statut</t>
  </si>
  <si>
    <t>Année</t>
  </si>
  <si>
    <t>2: Evolution du nombre de divisions pédagogiques du public au moyen</t>
  </si>
  <si>
    <t>Divisions Pédagogiques</t>
  </si>
  <si>
    <t>2015-16</t>
  </si>
  <si>
    <t>2019-20</t>
  </si>
  <si>
    <t>2023-24</t>
  </si>
  <si>
    <t>3: Evolution de l'effectif élèves par statut</t>
  </si>
  <si>
    <t>Annee</t>
  </si>
  <si>
    <t>Privé + Réfugié</t>
  </si>
  <si>
    <t>2003-04</t>
  </si>
  <si>
    <t>4: Evolution de l'effectif des redoublants (au collège) publics par genre</t>
  </si>
  <si>
    <t>Garçon</t>
  </si>
  <si>
    <t>Fille</t>
  </si>
  <si>
    <t>ENSEIGNEMENT SECONDAIRE</t>
  </si>
  <si>
    <t>1: Évolution du nombre d'établissements du secondaire général</t>
  </si>
  <si>
    <t>2:  Évolution de l'effectif des élèves de l'enseignement secondaire général par statut</t>
  </si>
  <si>
    <t xml:space="preserve"> Public </t>
  </si>
  <si>
    <t>Privé + réfugié</t>
  </si>
  <si>
    <t>3: Evolution de l'effectif des Redoublants  du Secondaire  général  public par genre</t>
  </si>
  <si>
    <t>Garcon</t>
  </si>
  <si>
    <t>4: Évolution du nombre de Divisions Pédagogiques du public au Secondaire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</si>
</sst>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9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2" borderId="6" xfId="0" applyFill="1" applyBorder="1"/>
    <xf numFmtId="0" fontId="0" fillId="2" borderId="1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0" fillId="0" borderId="26" xfId="0" applyBorder="1"/>
    <xf numFmtId="0" fontId="1" fillId="0" borderId="21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0" borderId="22" xfId="0" applyFont="1" applyBorder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9" fontId="0" fillId="0" borderId="0" xfId="0" applyNumberFormat="1"/>
    <xf numFmtId="10" fontId="0" fillId="0" borderId="0" xfId="0" applyNumberFormat="1"/>
    <xf numFmtId="0" fontId="0" fillId="0" borderId="1" xfId="0" applyBorder="1" applyAlignment="1">
      <alignment horizontal="right" vertical="center"/>
    </xf>
    <xf numFmtId="10" fontId="0" fillId="2" borderId="1" xfId="0" applyNumberFormat="1" applyFill="1" applyBorder="1"/>
    <xf numFmtId="9" fontId="0" fillId="2" borderId="1" xfId="0" applyNumberFormat="1" applyFill="1" applyBorder="1"/>
    <xf numFmtId="10" fontId="0" fillId="0" borderId="1" xfId="0" applyNumberFormat="1" applyBorder="1"/>
    <xf numFmtId="9" fontId="0" fillId="0" borderId="1" xfId="0" applyNumberFormat="1" applyBorder="1"/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3" xfId="0" applyBorder="1"/>
    <xf numFmtId="0" fontId="0" fillId="0" borderId="32" xfId="0" applyBorder="1"/>
    <xf numFmtId="9" fontId="0" fillId="0" borderId="32" xfId="0" applyNumberFormat="1" applyBorder="1"/>
    <xf numFmtId="10" fontId="0" fillId="0" borderId="33" xfId="0" applyNumberForma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" fillId="0" borderId="3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1" applyAlignment="1">
      <alignment horizontal="left" vertical="top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3" fillId="0" borderId="0" xfId="1" applyAlignment="1">
      <alignment horizontal="left" vertical="top" wrapText="1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3" fillId="0" borderId="1" xfId="1" applyBorder="1" applyAlignment="1">
      <alignment horizontal="left" vertical="top"/>
    </xf>
    <xf numFmtId="0" fontId="3" fillId="0" borderId="1" xfId="1" applyBorder="1" applyAlignment="1">
      <alignment horizontal="right" vertical="center"/>
    </xf>
    <xf numFmtId="0" fontId="3" fillId="0" borderId="1" xfId="1" applyBorder="1" applyAlignment="1">
      <alignment horizontal="right" vertical="center" wrapText="1"/>
    </xf>
    <xf numFmtId="0" fontId="3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left" vertical="center" wrapText="1"/>
    </xf>
    <xf numFmtId="0" fontId="7" fillId="0" borderId="0" xfId="0" applyFont="1" applyAlignment="1">
      <alignment vertical="center"/>
    </xf>
  </cellXfs>
  <cellStyles count="2">
    <cellStyle name="Normal" xfId="0" builtinId="0"/>
    <cellStyle name="Normal 2" xfId="1" xr:uid="{FBEF5957-2244-4162-AAFD-FE1A4C7459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F09A-C8F0-4C3A-A151-E3B02ACAEEDB}">
  <dimension ref="A1:H89"/>
  <sheetViews>
    <sheetView tabSelected="1" workbookViewId="0">
      <selection activeCell="C1" sqref="C1"/>
    </sheetView>
  </sheetViews>
  <sheetFormatPr baseColWidth="10" defaultRowHeight="14.4" x14ac:dyDescent="0.3"/>
  <cols>
    <col min="2" max="2" width="13.44140625" customWidth="1"/>
    <col min="3" max="3" width="15" customWidth="1"/>
    <col min="4" max="4" width="13.88671875" customWidth="1"/>
    <col min="6" max="6" width="10.77734375" customWidth="1"/>
    <col min="7" max="7" width="9.88671875" customWidth="1"/>
  </cols>
  <sheetData>
    <row r="1" spans="1:8" ht="18" x14ac:dyDescent="0.3">
      <c r="C1" s="89" t="s">
        <v>0</v>
      </c>
    </row>
    <row r="2" spans="1:8" x14ac:dyDescent="0.3">
      <c r="A2" s="1" t="s">
        <v>1</v>
      </c>
      <c r="B2" s="2" t="s">
        <v>2</v>
      </c>
    </row>
    <row r="3" spans="1:8" x14ac:dyDescent="0.3">
      <c r="A3" s="1"/>
      <c r="B3" s="2" t="s">
        <v>3</v>
      </c>
    </row>
    <row r="4" spans="1:8" x14ac:dyDescent="0.3">
      <c r="B4" s="3"/>
    </row>
    <row r="5" spans="1:8" x14ac:dyDescent="0.3">
      <c r="A5" s="4" t="s">
        <v>4</v>
      </c>
    </row>
    <row r="6" spans="1:8" ht="28.8" x14ac:dyDescent="0.3">
      <c r="A6" s="5" t="s">
        <v>5</v>
      </c>
      <c r="B6" s="5" t="s">
        <v>6</v>
      </c>
      <c r="C6" s="5" t="s">
        <v>7</v>
      </c>
      <c r="D6" s="5" t="s">
        <v>8</v>
      </c>
    </row>
    <row r="7" spans="1:8" x14ac:dyDescent="0.3">
      <c r="A7" s="6" t="s">
        <v>9</v>
      </c>
      <c r="B7" s="6">
        <v>1046</v>
      </c>
      <c r="C7" s="6">
        <v>399</v>
      </c>
      <c r="D7" s="6">
        <v>92</v>
      </c>
    </row>
    <row r="8" spans="1:8" x14ac:dyDescent="0.3">
      <c r="A8" s="6" t="s">
        <v>10</v>
      </c>
      <c r="B8" s="6">
        <v>1440</v>
      </c>
      <c r="C8" s="6">
        <v>732</v>
      </c>
      <c r="D8" s="6">
        <v>275</v>
      </c>
    </row>
    <row r="9" spans="1:8" x14ac:dyDescent="0.3">
      <c r="A9" s="6" t="s">
        <v>11</v>
      </c>
      <c r="B9" s="6">
        <v>161</v>
      </c>
      <c r="C9" s="6">
        <v>57</v>
      </c>
      <c r="D9" s="6">
        <v>28</v>
      </c>
    </row>
    <row r="10" spans="1:8" x14ac:dyDescent="0.3">
      <c r="A10" s="6" t="s">
        <v>12</v>
      </c>
      <c r="B10" s="6">
        <v>202</v>
      </c>
      <c r="C10" s="6">
        <v>72</v>
      </c>
      <c r="D10" s="6">
        <v>39</v>
      </c>
    </row>
    <row r="11" spans="1:8" x14ac:dyDescent="0.3">
      <c r="A11" s="6" t="s">
        <v>13</v>
      </c>
      <c r="B11" s="6">
        <v>229</v>
      </c>
      <c r="C11" s="6">
        <v>96</v>
      </c>
      <c r="D11" s="6">
        <v>54</v>
      </c>
    </row>
    <row r="14" spans="1:8" ht="15" thickBot="1" x14ac:dyDescent="0.35">
      <c r="A14" s="4" t="s">
        <v>14</v>
      </c>
    </row>
    <row r="15" spans="1:8" ht="28.8" x14ac:dyDescent="0.3">
      <c r="A15" s="7" t="s">
        <v>5</v>
      </c>
      <c r="B15" s="8" t="s">
        <v>15</v>
      </c>
      <c r="C15" s="9" t="s">
        <v>16</v>
      </c>
      <c r="D15" s="9" t="s">
        <v>17</v>
      </c>
      <c r="E15" s="9" t="s">
        <v>18</v>
      </c>
      <c r="F15" s="9" t="s">
        <v>19</v>
      </c>
      <c r="G15" s="10" t="s">
        <v>20</v>
      </c>
      <c r="H15" s="11"/>
    </row>
    <row r="16" spans="1:8" x14ac:dyDescent="0.3">
      <c r="A16" s="12" t="s">
        <v>9</v>
      </c>
      <c r="B16" s="6">
        <v>800</v>
      </c>
      <c r="C16" s="6">
        <v>48713</v>
      </c>
      <c r="D16" s="6">
        <v>18180</v>
      </c>
      <c r="E16" s="6">
        <v>6033</v>
      </c>
      <c r="F16" s="6">
        <v>1538</v>
      </c>
      <c r="G16" s="13">
        <v>1134</v>
      </c>
      <c r="H16" s="3"/>
    </row>
    <row r="17" spans="1:8" x14ac:dyDescent="0.3">
      <c r="A17" s="12" t="s">
        <v>10</v>
      </c>
      <c r="B17" s="6">
        <v>1146</v>
      </c>
      <c r="C17" s="6">
        <v>59708</v>
      </c>
      <c r="D17" s="6">
        <v>34066</v>
      </c>
      <c r="E17" s="6">
        <v>12513</v>
      </c>
      <c r="F17" s="6">
        <v>2399</v>
      </c>
      <c r="G17" s="13">
        <v>3225</v>
      </c>
    </row>
    <row r="18" spans="1:8" x14ac:dyDescent="0.3">
      <c r="A18" s="14" t="s">
        <v>11</v>
      </c>
      <c r="B18" s="15">
        <v>2148</v>
      </c>
      <c r="C18" s="15">
        <v>61755</v>
      </c>
      <c r="D18" s="15">
        <v>39018</v>
      </c>
      <c r="E18" s="15">
        <v>16387</v>
      </c>
      <c r="F18" s="15">
        <v>3399</v>
      </c>
      <c r="G18" s="13" t="s">
        <v>21</v>
      </c>
      <c r="H18" s="3"/>
    </row>
    <row r="19" spans="1:8" x14ac:dyDescent="0.3">
      <c r="A19" s="12" t="s">
        <v>12</v>
      </c>
      <c r="B19" s="6">
        <v>4264</v>
      </c>
      <c r="C19" s="6">
        <v>69134</v>
      </c>
      <c r="D19" s="6">
        <v>44811</v>
      </c>
      <c r="E19" s="6">
        <v>18261</v>
      </c>
      <c r="F19" s="6">
        <v>4898</v>
      </c>
      <c r="G19" s="13" t="s">
        <v>21</v>
      </c>
    </row>
    <row r="20" spans="1:8" ht="15" thickBot="1" x14ac:dyDescent="0.35">
      <c r="A20" s="16" t="s">
        <v>13</v>
      </c>
      <c r="B20" s="17">
        <v>8542</v>
      </c>
      <c r="C20" s="17">
        <v>74492</v>
      </c>
      <c r="D20" s="17">
        <v>47119</v>
      </c>
      <c r="E20" s="17">
        <v>20666</v>
      </c>
      <c r="F20" s="17">
        <v>5521</v>
      </c>
      <c r="G20" s="18" t="s">
        <v>21</v>
      </c>
    </row>
    <row r="24" spans="1:8" x14ac:dyDescent="0.3">
      <c r="A24" s="4" t="s">
        <v>22</v>
      </c>
    </row>
    <row r="25" spans="1:8" ht="15" thickBot="1" x14ac:dyDescent="0.35"/>
    <row r="26" spans="1:8" ht="29.4" thickBot="1" x14ac:dyDescent="0.35">
      <c r="A26" s="19" t="s">
        <v>5</v>
      </c>
      <c r="B26" s="20" t="s">
        <v>23</v>
      </c>
      <c r="C26" s="20" t="s">
        <v>24</v>
      </c>
      <c r="D26" s="20" t="s">
        <v>25</v>
      </c>
      <c r="E26" s="21" t="s">
        <v>26</v>
      </c>
    </row>
    <row r="27" spans="1:8" x14ac:dyDescent="0.3">
      <c r="A27" s="22" t="s">
        <v>9</v>
      </c>
      <c r="B27" s="23">
        <v>4</v>
      </c>
      <c r="C27" s="23">
        <v>7</v>
      </c>
      <c r="D27" s="23"/>
      <c r="E27" s="24">
        <v>11</v>
      </c>
    </row>
    <row r="28" spans="1:8" x14ac:dyDescent="0.3">
      <c r="A28" s="12" t="s">
        <v>10</v>
      </c>
      <c r="B28" s="6">
        <v>9</v>
      </c>
      <c r="C28" s="6">
        <v>11</v>
      </c>
      <c r="D28" s="6"/>
      <c r="E28" s="13">
        <v>20</v>
      </c>
    </row>
    <row r="29" spans="1:8" x14ac:dyDescent="0.3">
      <c r="A29" s="12" t="s">
        <v>11</v>
      </c>
      <c r="B29" s="6">
        <v>8</v>
      </c>
      <c r="C29" s="6">
        <v>20</v>
      </c>
      <c r="D29" s="6">
        <v>0</v>
      </c>
      <c r="E29" s="13">
        <v>28</v>
      </c>
    </row>
    <row r="30" spans="1:8" x14ac:dyDescent="0.3">
      <c r="A30" s="12" t="s">
        <v>12</v>
      </c>
      <c r="B30" s="6">
        <v>19</v>
      </c>
      <c r="C30" s="6">
        <v>27</v>
      </c>
      <c r="D30" s="6">
        <v>3</v>
      </c>
      <c r="E30" s="13">
        <v>49</v>
      </c>
    </row>
    <row r="31" spans="1:8" ht="15" thickBot="1" x14ac:dyDescent="0.35">
      <c r="A31" s="16" t="s">
        <v>13</v>
      </c>
      <c r="B31" s="17">
        <v>101</v>
      </c>
      <c r="C31" s="17">
        <v>39</v>
      </c>
      <c r="D31" s="17">
        <v>3</v>
      </c>
      <c r="E31" s="18">
        <v>143</v>
      </c>
    </row>
    <row r="35" spans="1:5" ht="15" thickBot="1" x14ac:dyDescent="0.35">
      <c r="A35" s="4" t="s">
        <v>27</v>
      </c>
    </row>
    <row r="36" spans="1:5" ht="15" thickBot="1" x14ac:dyDescent="0.35">
      <c r="B36" s="25" t="s">
        <v>28</v>
      </c>
      <c r="C36" s="26"/>
      <c r="D36" s="26"/>
      <c r="E36" s="27"/>
    </row>
    <row r="37" spans="1:5" ht="29.4" thickBot="1" x14ac:dyDescent="0.35">
      <c r="A37" s="28" t="s">
        <v>5</v>
      </c>
      <c r="B37" s="19" t="s">
        <v>29</v>
      </c>
      <c r="C37" s="29" t="s">
        <v>30</v>
      </c>
      <c r="D37" s="30" t="s">
        <v>31</v>
      </c>
      <c r="E37" s="31" t="s">
        <v>32</v>
      </c>
    </row>
    <row r="38" spans="1:5" x14ac:dyDescent="0.3">
      <c r="A38" s="32" t="s">
        <v>9</v>
      </c>
      <c r="B38" s="22">
        <v>13</v>
      </c>
      <c r="C38" s="23">
        <v>12</v>
      </c>
      <c r="D38" s="24">
        <v>83</v>
      </c>
      <c r="E38" s="33">
        <v>108</v>
      </c>
    </row>
    <row r="39" spans="1:5" x14ac:dyDescent="0.3">
      <c r="A39" s="32" t="s">
        <v>10</v>
      </c>
      <c r="B39" s="12">
        <v>22</v>
      </c>
      <c r="C39" s="6">
        <v>14</v>
      </c>
      <c r="D39" s="13">
        <v>112</v>
      </c>
      <c r="E39" s="34">
        <v>148</v>
      </c>
    </row>
    <row r="40" spans="1:5" x14ac:dyDescent="0.3">
      <c r="A40" s="32" t="s">
        <v>11</v>
      </c>
      <c r="B40" s="12">
        <v>11</v>
      </c>
      <c r="C40" s="6">
        <v>17</v>
      </c>
      <c r="D40" s="13">
        <v>133</v>
      </c>
      <c r="E40" s="34">
        <v>161</v>
      </c>
    </row>
    <row r="41" spans="1:5" x14ac:dyDescent="0.3">
      <c r="A41" s="32" t="s">
        <v>12</v>
      </c>
      <c r="B41" s="12">
        <v>19</v>
      </c>
      <c r="C41" s="6">
        <v>23</v>
      </c>
      <c r="D41" s="13">
        <v>152</v>
      </c>
      <c r="E41" s="34">
        <v>202</v>
      </c>
    </row>
    <row r="42" spans="1:5" ht="15" thickBot="1" x14ac:dyDescent="0.35">
      <c r="A42" s="35" t="s">
        <v>13</v>
      </c>
      <c r="B42" s="16">
        <v>16</v>
      </c>
      <c r="C42" s="17">
        <v>33</v>
      </c>
      <c r="D42" s="18">
        <v>177</v>
      </c>
      <c r="E42" s="36">
        <v>234</v>
      </c>
    </row>
    <row r="47" spans="1:5" x14ac:dyDescent="0.3">
      <c r="A47" t="s">
        <v>33</v>
      </c>
    </row>
    <row r="48" spans="1:5" ht="15" thickBot="1" x14ac:dyDescent="0.35"/>
    <row r="49" spans="1:7" ht="15" thickBot="1" x14ac:dyDescent="0.35">
      <c r="B49" s="37" t="s">
        <v>34</v>
      </c>
      <c r="C49" s="38"/>
      <c r="D49" s="38"/>
      <c r="E49" s="38"/>
      <c r="F49" s="39"/>
    </row>
    <row r="50" spans="1:7" ht="29.4" thickBot="1" x14ac:dyDescent="0.35">
      <c r="A50" s="40" t="s">
        <v>5</v>
      </c>
      <c r="B50" s="19" t="s">
        <v>23</v>
      </c>
      <c r="C50" s="29" t="s">
        <v>35</v>
      </c>
      <c r="D50" s="29" t="s">
        <v>36</v>
      </c>
      <c r="E50" s="29" t="s">
        <v>37</v>
      </c>
      <c r="F50" s="30" t="s">
        <v>38</v>
      </c>
      <c r="G50" s="31" t="s">
        <v>39</v>
      </c>
    </row>
    <row r="51" spans="1:7" x14ac:dyDescent="0.3">
      <c r="A51" s="41" t="s">
        <v>9</v>
      </c>
      <c r="B51" s="22">
        <v>41181</v>
      </c>
      <c r="C51" s="23">
        <v>2853</v>
      </c>
      <c r="D51" s="23">
        <v>4679</v>
      </c>
      <c r="E51" s="23">
        <v>0</v>
      </c>
      <c r="F51" s="24">
        <v>0</v>
      </c>
      <c r="G51" s="42">
        <v>48713</v>
      </c>
    </row>
    <row r="52" spans="1:7" x14ac:dyDescent="0.3">
      <c r="A52" s="32" t="s">
        <v>10</v>
      </c>
      <c r="B52" s="12">
        <v>52991</v>
      </c>
      <c r="C52" s="6">
        <v>2554</v>
      </c>
      <c r="D52" s="6">
        <v>4163</v>
      </c>
      <c r="E52" s="6">
        <v>0</v>
      </c>
      <c r="F52" s="13">
        <v>0</v>
      </c>
      <c r="G52" s="43">
        <v>59708</v>
      </c>
    </row>
    <row r="53" spans="1:7" x14ac:dyDescent="0.3">
      <c r="A53" s="32" t="s">
        <v>11</v>
      </c>
      <c r="B53" s="12">
        <v>55674</v>
      </c>
      <c r="C53" s="6">
        <v>3893</v>
      </c>
      <c r="D53" s="6">
        <v>2188</v>
      </c>
      <c r="E53" s="6">
        <v>0</v>
      </c>
      <c r="F53" s="13">
        <v>0</v>
      </c>
      <c r="G53" s="44">
        <v>61755</v>
      </c>
    </row>
    <row r="54" spans="1:7" x14ac:dyDescent="0.3">
      <c r="A54" s="32" t="s">
        <v>12</v>
      </c>
      <c r="B54" s="12">
        <v>56631</v>
      </c>
      <c r="C54" s="6">
        <v>5442</v>
      </c>
      <c r="D54" s="6">
        <v>3779</v>
      </c>
      <c r="E54" s="6">
        <v>2587</v>
      </c>
      <c r="F54" s="13">
        <v>695</v>
      </c>
      <c r="G54" s="34">
        <f>SUM(B54:F54)</f>
        <v>69134</v>
      </c>
    </row>
    <row r="55" spans="1:7" ht="15" thickBot="1" x14ac:dyDescent="0.35">
      <c r="A55" s="35" t="s">
        <v>13</v>
      </c>
      <c r="B55" s="16">
        <v>61320</v>
      </c>
      <c r="C55" s="17">
        <v>7240</v>
      </c>
      <c r="D55" s="17">
        <v>2747</v>
      </c>
      <c r="E55" s="17">
        <v>2407</v>
      </c>
      <c r="F55" s="18">
        <v>778</v>
      </c>
      <c r="G55" s="36">
        <f>SUM(B55:F55)</f>
        <v>74492</v>
      </c>
    </row>
    <row r="59" spans="1:7" x14ac:dyDescent="0.3">
      <c r="A59" t="s">
        <v>40</v>
      </c>
    </row>
    <row r="60" spans="1:7" ht="15" thickBot="1" x14ac:dyDescent="0.35"/>
    <row r="61" spans="1:7" ht="15" thickBot="1" x14ac:dyDescent="0.35">
      <c r="B61" s="45" t="s">
        <v>41</v>
      </c>
      <c r="C61" s="46"/>
    </row>
    <row r="62" spans="1:7" ht="29.4" thickBot="1" x14ac:dyDescent="0.35">
      <c r="A62" s="40" t="s">
        <v>5</v>
      </c>
      <c r="B62" s="47" t="s">
        <v>42</v>
      </c>
      <c r="C62" s="48" t="s">
        <v>43</v>
      </c>
    </row>
    <row r="63" spans="1:7" x14ac:dyDescent="0.3">
      <c r="A63" s="6" t="s">
        <v>9</v>
      </c>
      <c r="B63" s="49" t="s">
        <v>44</v>
      </c>
      <c r="C63" s="49" t="s">
        <v>45</v>
      </c>
      <c r="E63" s="50"/>
      <c r="G63" s="51"/>
    </row>
    <row r="64" spans="1:7" x14ac:dyDescent="0.3">
      <c r="A64" s="6" t="s">
        <v>10</v>
      </c>
      <c r="B64" s="52" t="s">
        <v>46</v>
      </c>
      <c r="C64" s="52" t="s">
        <v>47</v>
      </c>
      <c r="E64" s="50"/>
      <c r="G64" s="51"/>
    </row>
    <row r="65" spans="1:7" x14ac:dyDescent="0.3">
      <c r="A65" s="15" t="s">
        <v>11</v>
      </c>
      <c r="B65" s="53">
        <v>0.72199999999999998</v>
      </c>
      <c r="C65" s="54">
        <v>0.78</v>
      </c>
      <c r="E65" s="50"/>
      <c r="G65" s="51"/>
    </row>
    <row r="66" spans="1:7" x14ac:dyDescent="0.3">
      <c r="A66" s="6" t="s">
        <v>12</v>
      </c>
      <c r="B66" s="55">
        <v>1.014</v>
      </c>
      <c r="C66" s="56">
        <v>0.94</v>
      </c>
      <c r="E66" s="50"/>
      <c r="G66" s="51"/>
    </row>
    <row r="67" spans="1:7" x14ac:dyDescent="0.3">
      <c r="A67" s="6" t="s">
        <v>13</v>
      </c>
      <c r="B67" s="55">
        <v>1.0900000000000001</v>
      </c>
      <c r="C67" s="56">
        <v>0.99019999999999997</v>
      </c>
      <c r="E67" s="50"/>
      <c r="G67" s="51"/>
    </row>
    <row r="68" spans="1:7" x14ac:dyDescent="0.3">
      <c r="B68" s="51"/>
      <c r="C68" s="50"/>
      <c r="E68" s="50"/>
      <c r="G68" s="51"/>
    </row>
    <row r="69" spans="1:7" x14ac:dyDescent="0.3">
      <c r="B69" s="51"/>
      <c r="C69" s="50"/>
      <c r="E69" s="50"/>
      <c r="G69" s="51"/>
    </row>
    <row r="70" spans="1:7" ht="15" thickBot="1" x14ac:dyDescent="0.35">
      <c r="A70" t="s">
        <v>48</v>
      </c>
      <c r="B70" s="51"/>
      <c r="C70" s="50"/>
      <c r="E70" s="50"/>
      <c r="G70" s="51"/>
    </row>
    <row r="71" spans="1:7" ht="29.4" thickBot="1" x14ac:dyDescent="0.35">
      <c r="A71" s="40" t="s">
        <v>5</v>
      </c>
      <c r="B71" s="57" t="s">
        <v>10</v>
      </c>
      <c r="C71" s="58"/>
      <c r="D71" s="59"/>
      <c r="E71" s="57" t="s">
        <v>13</v>
      </c>
      <c r="F71" s="58"/>
      <c r="G71" s="59"/>
    </row>
    <row r="72" spans="1:7" x14ac:dyDescent="0.3">
      <c r="A72" s="11"/>
      <c r="B72" s="60" t="s">
        <v>16</v>
      </c>
      <c r="C72" s="61" t="s">
        <v>49</v>
      </c>
      <c r="D72" s="62" t="s">
        <v>50</v>
      </c>
      <c r="E72" s="60" t="s">
        <v>16</v>
      </c>
      <c r="F72" s="61" t="s">
        <v>49</v>
      </c>
      <c r="G72" s="62" t="s">
        <v>50</v>
      </c>
    </row>
    <row r="73" spans="1:7" x14ac:dyDescent="0.3">
      <c r="A73" t="s">
        <v>51</v>
      </c>
      <c r="B73" s="63">
        <v>35</v>
      </c>
      <c r="C73">
        <v>15</v>
      </c>
      <c r="D73" s="62">
        <v>4</v>
      </c>
      <c r="E73" s="64"/>
      <c r="F73">
        <v>21</v>
      </c>
      <c r="G73" s="65"/>
    </row>
    <row r="74" spans="1:7" x14ac:dyDescent="0.3">
      <c r="A74" t="s">
        <v>52</v>
      </c>
      <c r="B74" s="63">
        <v>10</v>
      </c>
      <c r="C74">
        <v>3</v>
      </c>
      <c r="D74" s="62">
        <v>1</v>
      </c>
      <c r="E74" s="64"/>
      <c r="F74">
        <v>6</v>
      </c>
      <c r="G74" s="65"/>
    </row>
    <row r="75" spans="1:7" x14ac:dyDescent="0.3">
      <c r="A75" t="s">
        <v>53</v>
      </c>
      <c r="B75" s="63">
        <v>13</v>
      </c>
      <c r="C75">
        <v>2</v>
      </c>
      <c r="D75" s="62">
        <v>1</v>
      </c>
      <c r="E75" s="64"/>
      <c r="F75">
        <v>9</v>
      </c>
      <c r="G75" s="65"/>
    </row>
    <row r="76" spans="1:7" x14ac:dyDescent="0.3">
      <c r="A76" t="s">
        <v>54</v>
      </c>
      <c r="B76" s="63">
        <v>17</v>
      </c>
      <c r="C76">
        <v>4</v>
      </c>
      <c r="D76" s="62">
        <v>1</v>
      </c>
      <c r="E76" s="64"/>
      <c r="F76">
        <v>8</v>
      </c>
      <c r="G76" s="65"/>
    </row>
    <row r="77" spans="1:7" x14ac:dyDescent="0.3">
      <c r="A77" t="s">
        <v>55</v>
      </c>
      <c r="B77" s="63">
        <v>13</v>
      </c>
      <c r="C77">
        <v>1</v>
      </c>
      <c r="D77" s="62">
        <v>1</v>
      </c>
      <c r="E77" s="64"/>
      <c r="F77">
        <v>2</v>
      </c>
      <c r="G77" s="65"/>
    </row>
    <row r="78" spans="1:7" x14ac:dyDescent="0.3">
      <c r="A78" t="s">
        <v>56</v>
      </c>
      <c r="B78" s="63">
        <v>24</v>
      </c>
      <c r="C78">
        <v>3</v>
      </c>
      <c r="D78" s="62">
        <v>1</v>
      </c>
      <c r="E78" s="64"/>
      <c r="F78">
        <v>7</v>
      </c>
      <c r="G78" s="65"/>
    </row>
    <row r="79" spans="1:7" ht="15" thickBot="1" x14ac:dyDescent="0.35">
      <c r="B79" s="66">
        <f>SUM(B73:B78)</f>
        <v>112</v>
      </c>
      <c r="C79" s="67">
        <f t="shared" ref="C79:D79" si="0">SUM(C73:C78)</f>
        <v>28</v>
      </c>
      <c r="D79" s="68">
        <f t="shared" si="0"/>
        <v>9</v>
      </c>
      <c r="E79" s="66">
        <f>SUM(E73:E78)</f>
        <v>0</v>
      </c>
      <c r="F79" s="67">
        <f t="shared" ref="F79:G79" si="1">SUM(F73:F78)</f>
        <v>53</v>
      </c>
      <c r="G79" s="68">
        <f t="shared" si="1"/>
        <v>0</v>
      </c>
    </row>
    <row r="80" spans="1:7" x14ac:dyDescent="0.3">
      <c r="E80" s="50"/>
      <c r="G80" s="51"/>
    </row>
    <row r="81" spans="1:7" x14ac:dyDescent="0.3">
      <c r="A81" t="s">
        <v>57</v>
      </c>
      <c r="E81" s="50"/>
      <c r="G81" s="51"/>
    </row>
    <row r="82" spans="1:7" x14ac:dyDescent="0.3">
      <c r="A82" t="s">
        <v>58</v>
      </c>
    </row>
    <row r="84" spans="1:7" x14ac:dyDescent="0.3">
      <c r="B84">
        <v>112</v>
      </c>
    </row>
    <row r="86" spans="1:7" x14ac:dyDescent="0.3">
      <c r="B86" s="69" t="s">
        <v>10</v>
      </c>
      <c r="C86" s="70"/>
      <c r="D86" s="70"/>
    </row>
    <row r="87" spans="1:7" x14ac:dyDescent="0.3">
      <c r="A87" t="s">
        <v>59</v>
      </c>
      <c r="B87" s="61" t="s">
        <v>16</v>
      </c>
      <c r="C87" s="61" t="s">
        <v>49</v>
      </c>
      <c r="D87" s="71" t="s">
        <v>50</v>
      </c>
    </row>
    <row r="88" spans="1:7" x14ac:dyDescent="0.3">
      <c r="A88" t="s">
        <v>10</v>
      </c>
      <c r="B88">
        <v>14</v>
      </c>
      <c r="C88">
        <v>8</v>
      </c>
      <c r="D88">
        <v>2</v>
      </c>
    </row>
    <row r="89" spans="1:7" x14ac:dyDescent="0.3">
      <c r="A89" s="72" t="s">
        <v>13</v>
      </c>
      <c r="C89">
        <v>10</v>
      </c>
    </row>
  </sheetData>
  <mergeCells count="7">
    <mergeCell ref="B86:D86"/>
    <mergeCell ref="A2:A3"/>
    <mergeCell ref="B36:E36"/>
    <mergeCell ref="B49:F49"/>
    <mergeCell ref="B61:C61"/>
    <mergeCell ref="B71:D71"/>
    <mergeCell ref="E71:G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58AE-C40B-4953-8E1A-8E575D68CD91}">
  <dimension ref="A1:F38"/>
  <sheetViews>
    <sheetView topLeftCell="A25" workbookViewId="0">
      <selection activeCell="D43" sqref="D43"/>
    </sheetView>
  </sheetViews>
  <sheetFormatPr baseColWidth="10" defaultRowHeight="14.4" x14ac:dyDescent="0.3"/>
  <cols>
    <col min="1" max="6" width="11.5546875" style="73"/>
  </cols>
  <sheetData>
    <row r="1" spans="1:6" ht="15.6" x14ac:dyDescent="0.3">
      <c r="C1" s="74" t="s">
        <v>60</v>
      </c>
    </row>
    <row r="2" spans="1:6" ht="15.6" x14ac:dyDescent="0.3">
      <c r="C2" s="74"/>
    </row>
    <row r="3" spans="1:6" x14ac:dyDescent="0.3">
      <c r="A3" s="1" t="s">
        <v>1</v>
      </c>
      <c r="B3" s="2" t="s">
        <v>2</v>
      </c>
      <c r="C3"/>
      <c r="D3"/>
    </row>
    <row r="4" spans="1:6" x14ac:dyDescent="0.3">
      <c r="A4" s="1"/>
      <c r="B4" s="2" t="s">
        <v>3</v>
      </c>
      <c r="C4"/>
      <c r="D4"/>
      <c r="E4" s="75"/>
      <c r="F4" s="75"/>
    </row>
    <row r="5" spans="1:6" x14ac:dyDescent="0.3">
      <c r="A5" s="11"/>
      <c r="B5" s="2"/>
      <c r="C5"/>
      <c r="D5"/>
      <c r="E5" s="75"/>
      <c r="F5" s="75"/>
    </row>
    <row r="7" spans="1:6" ht="15.6" x14ac:dyDescent="0.3">
      <c r="A7" s="76" t="s">
        <v>61</v>
      </c>
      <c r="B7" s="77"/>
      <c r="C7" s="77"/>
    </row>
    <row r="8" spans="1:6" s="71" customFormat="1" x14ac:dyDescent="0.3">
      <c r="A8" s="78" t="s">
        <v>62</v>
      </c>
      <c r="B8" s="79" t="s">
        <v>23</v>
      </c>
      <c r="C8" s="79" t="s">
        <v>24</v>
      </c>
      <c r="D8" s="78" t="s">
        <v>25</v>
      </c>
      <c r="E8" s="78" t="s">
        <v>26</v>
      </c>
      <c r="F8" s="80"/>
    </row>
    <row r="9" spans="1:6" x14ac:dyDescent="0.3">
      <c r="A9" s="81" t="s">
        <v>9</v>
      </c>
      <c r="B9" s="82">
        <v>10</v>
      </c>
      <c r="C9" s="82">
        <v>20</v>
      </c>
      <c r="D9" s="82">
        <v>0</v>
      </c>
      <c r="E9" s="82">
        <v>30</v>
      </c>
    </row>
    <row r="10" spans="1:6" x14ac:dyDescent="0.3">
      <c r="A10" s="81" t="s">
        <v>11</v>
      </c>
      <c r="B10" s="83">
        <v>35</v>
      </c>
      <c r="C10" s="83">
        <v>22</v>
      </c>
      <c r="D10" s="82">
        <v>3</v>
      </c>
      <c r="E10" s="82">
        <v>60</v>
      </c>
    </row>
    <row r="11" spans="1:6" x14ac:dyDescent="0.3">
      <c r="A11" s="81" t="s">
        <v>12</v>
      </c>
      <c r="B11" s="83">
        <v>40</v>
      </c>
      <c r="C11" s="83">
        <v>26</v>
      </c>
      <c r="D11" s="82">
        <v>3</v>
      </c>
      <c r="E11" s="82">
        <v>69</v>
      </c>
    </row>
    <row r="12" spans="1:6" x14ac:dyDescent="0.3">
      <c r="A12" s="81" t="s">
        <v>13</v>
      </c>
      <c r="B12" s="83">
        <v>53</v>
      </c>
      <c r="C12" s="83">
        <v>40</v>
      </c>
      <c r="D12" s="82">
        <v>3</v>
      </c>
      <c r="E12" s="82">
        <v>96</v>
      </c>
    </row>
    <row r="15" spans="1:6" x14ac:dyDescent="0.3">
      <c r="A15" s="73" t="s">
        <v>63</v>
      </c>
      <c r="B15" s="77"/>
    </row>
    <row r="16" spans="1:6" x14ac:dyDescent="0.3">
      <c r="B16" s="77"/>
    </row>
    <row r="17" spans="1:6" ht="26.4" x14ac:dyDescent="0.3">
      <c r="A17" s="81" t="s">
        <v>62</v>
      </c>
      <c r="B17" s="79" t="s">
        <v>64</v>
      </c>
    </row>
    <row r="18" spans="1:6" x14ac:dyDescent="0.3">
      <c r="A18" s="81" t="s">
        <v>9</v>
      </c>
      <c r="B18" s="82">
        <v>399</v>
      </c>
    </row>
    <row r="19" spans="1:6" x14ac:dyDescent="0.3">
      <c r="A19" s="81" t="s">
        <v>65</v>
      </c>
      <c r="B19" s="83">
        <v>753</v>
      </c>
    </row>
    <row r="20" spans="1:6" x14ac:dyDescent="0.3">
      <c r="A20" s="81" t="s">
        <v>66</v>
      </c>
      <c r="B20" s="83">
        <v>900</v>
      </c>
    </row>
    <row r="21" spans="1:6" x14ac:dyDescent="0.3">
      <c r="A21" s="81" t="s">
        <v>67</v>
      </c>
      <c r="B21" s="83">
        <v>938</v>
      </c>
    </row>
    <row r="24" spans="1:6" x14ac:dyDescent="0.3">
      <c r="A24" s="73" t="s">
        <v>68</v>
      </c>
      <c r="B24" s="77"/>
      <c r="C24" s="77"/>
    </row>
    <row r="25" spans="1:6" ht="26.4" x14ac:dyDescent="0.3">
      <c r="A25" s="78" t="s">
        <v>69</v>
      </c>
      <c r="B25" s="79" t="s">
        <v>23</v>
      </c>
      <c r="C25" s="79" t="s">
        <v>70</v>
      </c>
      <c r="D25" s="78" t="s">
        <v>26</v>
      </c>
      <c r="E25" s="80"/>
      <c r="F25" s="80"/>
    </row>
    <row r="26" spans="1:6" x14ac:dyDescent="0.3">
      <c r="A26" s="73" t="s">
        <v>71</v>
      </c>
      <c r="B26" s="82">
        <v>14781</v>
      </c>
      <c r="C26" s="82">
        <v>3399</v>
      </c>
      <c r="D26" s="82">
        <v>18180</v>
      </c>
    </row>
    <row r="27" spans="1:6" x14ac:dyDescent="0.3">
      <c r="A27" s="81" t="s">
        <v>65</v>
      </c>
      <c r="B27" s="83">
        <v>35949</v>
      </c>
      <c r="C27" s="83">
        <v>3048</v>
      </c>
      <c r="D27" s="82">
        <v>38997</v>
      </c>
    </row>
    <row r="28" spans="1:6" x14ac:dyDescent="0.3">
      <c r="A28" s="81" t="s">
        <v>66</v>
      </c>
      <c r="B28" s="83">
        <v>39694</v>
      </c>
      <c r="C28" s="83">
        <v>5117</v>
      </c>
      <c r="D28" s="82">
        <v>44811</v>
      </c>
    </row>
    <row r="29" spans="1:6" x14ac:dyDescent="0.3">
      <c r="A29" s="81" t="s">
        <v>67</v>
      </c>
      <c r="B29" s="83">
        <v>40112</v>
      </c>
      <c r="C29" s="83">
        <v>7007</v>
      </c>
      <c r="D29" s="82">
        <v>47119</v>
      </c>
    </row>
    <row r="32" spans="1:6" x14ac:dyDescent="0.3">
      <c r="A32" s="73" t="s">
        <v>72</v>
      </c>
      <c r="B32" s="77"/>
      <c r="C32" s="77"/>
    </row>
    <row r="33" spans="1:6" x14ac:dyDescent="0.3">
      <c r="B33" s="77"/>
      <c r="C33" s="77"/>
    </row>
    <row r="34" spans="1:6" s="71" customFormat="1" x14ac:dyDescent="0.3">
      <c r="A34" s="78" t="s">
        <v>69</v>
      </c>
      <c r="B34" s="79" t="s">
        <v>73</v>
      </c>
      <c r="C34" s="79" t="s">
        <v>74</v>
      </c>
      <c r="D34" s="78" t="s">
        <v>26</v>
      </c>
      <c r="E34" s="80"/>
      <c r="F34" s="80"/>
    </row>
    <row r="35" spans="1:6" x14ac:dyDescent="0.3">
      <c r="A35" s="81" t="s">
        <v>9</v>
      </c>
      <c r="B35" s="82">
        <v>961</v>
      </c>
      <c r="C35" s="82">
        <v>546</v>
      </c>
      <c r="D35" s="82">
        <v>1507</v>
      </c>
    </row>
    <row r="36" spans="1:6" x14ac:dyDescent="0.3">
      <c r="A36" s="81" t="s">
        <v>11</v>
      </c>
      <c r="B36" s="83">
        <v>2235</v>
      </c>
      <c r="C36" s="83">
        <v>1549</v>
      </c>
      <c r="D36" s="82">
        <v>3784</v>
      </c>
    </row>
    <row r="37" spans="1:6" x14ac:dyDescent="0.3">
      <c r="A37" s="81" t="s">
        <v>12</v>
      </c>
      <c r="B37" s="83">
        <v>2026</v>
      </c>
      <c r="C37" s="83">
        <v>1272</v>
      </c>
      <c r="D37" s="82">
        <v>3298</v>
      </c>
    </row>
    <row r="38" spans="1:6" x14ac:dyDescent="0.3">
      <c r="A38" s="81" t="s">
        <v>13</v>
      </c>
      <c r="B38" s="83">
        <v>1721</v>
      </c>
      <c r="C38" s="83">
        <v>1094</v>
      </c>
      <c r="D38" s="82">
        <v>2815</v>
      </c>
    </row>
  </sheetData>
  <mergeCells count="1"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1C01-7FD1-474E-9B9F-976AB1E4D617}">
  <dimension ref="A1:F40"/>
  <sheetViews>
    <sheetView topLeftCell="A25" workbookViewId="0">
      <selection activeCell="D43" sqref="D43"/>
    </sheetView>
  </sheetViews>
  <sheetFormatPr baseColWidth="10" defaultRowHeight="14.4" x14ac:dyDescent="0.3"/>
  <cols>
    <col min="1" max="2" width="11.5546875" style="84"/>
    <col min="3" max="3" width="8.5546875" style="84" customWidth="1"/>
    <col min="4" max="6" width="11.5546875" style="84"/>
    <col min="7" max="16384" width="11.5546875" style="3"/>
  </cols>
  <sheetData>
    <row r="1" spans="1:6" x14ac:dyDescent="0.3">
      <c r="C1" s="85" t="s">
        <v>75</v>
      </c>
    </row>
    <row r="2" spans="1:6" x14ac:dyDescent="0.3">
      <c r="A2" s="1" t="s">
        <v>1</v>
      </c>
      <c r="B2" s="86" t="s">
        <v>2</v>
      </c>
      <c r="C2" s="3"/>
      <c r="D2" s="3"/>
      <c r="F2" s="85"/>
    </row>
    <row r="3" spans="1:6" x14ac:dyDescent="0.3">
      <c r="A3" s="1"/>
      <c r="B3" s="86" t="s">
        <v>3</v>
      </c>
      <c r="C3" s="3"/>
      <c r="D3" s="3"/>
      <c r="E3" s="85"/>
      <c r="F3" s="85"/>
    </row>
    <row r="4" spans="1:6" x14ac:dyDescent="0.3">
      <c r="B4" s="85"/>
      <c r="C4" s="85"/>
      <c r="D4" s="85"/>
      <c r="E4" s="85"/>
      <c r="F4" s="85"/>
    </row>
    <row r="6" spans="1:6" x14ac:dyDescent="0.3">
      <c r="A6" s="84" t="s">
        <v>76</v>
      </c>
    </row>
    <row r="8" spans="1:6" x14ac:dyDescent="0.3">
      <c r="A8" s="87" t="s">
        <v>62</v>
      </c>
      <c r="B8" s="87" t="s">
        <v>23</v>
      </c>
      <c r="C8" s="87" t="s">
        <v>24</v>
      </c>
      <c r="D8" s="87" t="s">
        <v>25</v>
      </c>
      <c r="E8" s="87" t="s">
        <v>26</v>
      </c>
    </row>
    <row r="9" spans="1:6" x14ac:dyDescent="0.3">
      <c r="A9" s="87" t="s">
        <v>71</v>
      </c>
      <c r="B9" s="82">
        <v>5</v>
      </c>
      <c r="C9" s="82">
        <v>10</v>
      </c>
      <c r="D9" s="82"/>
      <c r="E9" s="82">
        <v>15</v>
      </c>
    </row>
    <row r="10" spans="1:6" x14ac:dyDescent="0.3">
      <c r="A10" s="87" t="s">
        <v>11</v>
      </c>
      <c r="B10" s="82">
        <v>10</v>
      </c>
      <c r="C10" s="82">
        <v>18</v>
      </c>
      <c r="D10" s="82">
        <v>0</v>
      </c>
      <c r="E10" s="82">
        <v>28</v>
      </c>
    </row>
    <row r="11" spans="1:6" x14ac:dyDescent="0.3">
      <c r="A11" s="87" t="s">
        <v>12</v>
      </c>
      <c r="B11" s="82">
        <v>15</v>
      </c>
      <c r="C11" s="82">
        <v>20</v>
      </c>
      <c r="D11" s="82">
        <v>3</v>
      </c>
      <c r="E11" s="82">
        <v>38</v>
      </c>
    </row>
    <row r="12" spans="1:6" x14ac:dyDescent="0.3">
      <c r="A12" s="87" t="s">
        <v>13</v>
      </c>
      <c r="B12" s="82">
        <v>29</v>
      </c>
      <c r="C12" s="82">
        <v>22</v>
      </c>
      <c r="D12" s="82">
        <v>3</v>
      </c>
      <c r="E12" s="82">
        <v>48</v>
      </c>
    </row>
    <row r="15" spans="1:6" x14ac:dyDescent="0.3">
      <c r="A15" s="84" t="s">
        <v>77</v>
      </c>
    </row>
    <row r="17" spans="1:6" s="71" customFormat="1" ht="26.4" x14ac:dyDescent="0.3">
      <c r="A17" s="78" t="s">
        <v>62</v>
      </c>
      <c r="B17" s="78" t="s">
        <v>78</v>
      </c>
      <c r="C17" s="79" t="s">
        <v>79</v>
      </c>
      <c r="D17" s="78" t="s">
        <v>26</v>
      </c>
      <c r="E17" s="80"/>
      <c r="F17" s="80"/>
    </row>
    <row r="18" spans="1:6" x14ac:dyDescent="0.3">
      <c r="A18" s="87" t="s">
        <v>71</v>
      </c>
      <c r="B18" s="82">
        <v>4463</v>
      </c>
      <c r="C18" s="82">
        <v>1570</v>
      </c>
      <c r="D18" s="82">
        <v>6033</v>
      </c>
    </row>
    <row r="19" spans="1:6" x14ac:dyDescent="0.3">
      <c r="A19" s="87" t="s">
        <v>11</v>
      </c>
      <c r="B19" s="82">
        <v>14157</v>
      </c>
      <c r="C19" s="82">
        <v>2230</v>
      </c>
      <c r="D19" s="82">
        <v>16387</v>
      </c>
    </row>
    <row r="20" spans="1:6" x14ac:dyDescent="0.3">
      <c r="A20" s="87" t="s">
        <v>12</v>
      </c>
      <c r="B20" s="82">
        <v>15565</v>
      </c>
      <c r="C20" s="82">
        <v>2393</v>
      </c>
      <c r="D20" s="82">
        <v>17958</v>
      </c>
    </row>
    <row r="21" spans="1:6" x14ac:dyDescent="0.3">
      <c r="A21" s="87" t="s">
        <v>13</v>
      </c>
      <c r="B21" s="82">
        <v>17362</v>
      </c>
      <c r="C21" s="82">
        <v>3304</v>
      </c>
      <c r="D21" s="82">
        <v>20666</v>
      </c>
    </row>
    <row r="25" spans="1:6" x14ac:dyDescent="0.3">
      <c r="A25" s="84" t="s">
        <v>80</v>
      </c>
    </row>
    <row r="27" spans="1:6" s="71" customFormat="1" x14ac:dyDescent="0.3">
      <c r="A27" s="78" t="s">
        <v>62</v>
      </c>
      <c r="B27" s="78" t="s">
        <v>81</v>
      </c>
      <c r="C27" s="78" t="s">
        <v>74</v>
      </c>
      <c r="D27" s="78" t="s">
        <v>26</v>
      </c>
      <c r="E27" s="80"/>
      <c r="F27" s="80"/>
    </row>
    <row r="28" spans="1:6" x14ac:dyDescent="0.3">
      <c r="A28" s="87" t="s">
        <v>71</v>
      </c>
      <c r="B28" s="82">
        <v>527</v>
      </c>
      <c r="C28" s="82">
        <v>330</v>
      </c>
      <c r="D28" s="82">
        <v>197</v>
      </c>
    </row>
    <row r="29" spans="1:6" x14ac:dyDescent="0.3">
      <c r="A29" s="87" t="s">
        <v>11</v>
      </c>
      <c r="B29" s="82">
        <v>1156</v>
      </c>
      <c r="C29" s="82">
        <v>790</v>
      </c>
      <c r="D29" s="82">
        <v>1946</v>
      </c>
    </row>
    <row r="30" spans="1:6" x14ac:dyDescent="0.3">
      <c r="A30" s="87" t="s">
        <v>12</v>
      </c>
      <c r="B30" s="82">
        <v>711</v>
      </c>
      <c r="C30" s="82">
        <v>617</v>
      </c>
      <c r="D30" s="82">
        <v>1328</v>
      </c>
    </row>
    <row r="31" spans="1:6" x14ac:dyDescent="0.3">
      <c r="A31" s="87" t="s">
        <v>13</v>
      </c>
      <c r="B31" s="82">
        <v>365</v>
      </c>
      <c r="C31" s="82">
        <v>272</v>
      </c>
      <c r="D31" s="82">
        <v>637</v>
      </c>
    </row>
    <row r="34" spans="1:2" x14ac:dyDescent="0.3">
      <c r="A34" s="84" t="s">
        <v>82</v>
      </c>
    </row>
    <row r="36" spans="1:2" ht="26.4" x14ac:dyDescent="0.3">
      <c r="A36" s="87" t="s">
        <v>62</v>
      </c>
      <c r="B36" s="88" t="s">
        <v>64</v>
      </c>
    </row>
    <row r="37" spans="1:2" x14ac:dyDescent="0.3">
      <c r="A37" s="87" t="s">
        <v>71</v>
      </c>
      <c r="B37" s="82">
        <v>140</v>
      </c>
    </row>
    <row r="38" spans="1:2" x14ac:dyDescent="0.3">
      <c r="A38" s="87" t="s">
        <v>11</v>
      </c>
      <c r="B38" s="82">
        <v>294</v>
      </c>
    </row>
    <row r="39" spans="1:2" x14ac:dyDescent="0.3">
      <c r="A39" s="87" t="s">
        <v>12</v>
      </c>
      <c r="B39" s="82">
        <v>346</v>
      </c>
    </row>
    <row r="40" spans="1:2" x14ac:dyDescent="0.3">
      <c r="A40" s="87" t="s">
        <v>13</v>
      </c>
      <c r="B40" s="82">
        <v>419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Comp AStatist 2003_2024</vt:lpstr>
      <vt:lpstr>D C 2003-2024 Collèges</vt:lpstr>
      <vt:lpstr>D C 2003-2024 LYCEE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Arré Moumine</dc:creator>
  <cp:lastModifiedBy>Arré Moumine</cp:lastModifiedBy>
  <dcterms:created xsi:type="dcterms:W3CDTF">2025-11-22T12:57:58Z</dcterms:created>
  <dcterms:modified xsi:type="dcterms:W3CDTF">2025-11-22T12:59:12Z</dcterms:modified>
</cp:coreProperties>
</file>